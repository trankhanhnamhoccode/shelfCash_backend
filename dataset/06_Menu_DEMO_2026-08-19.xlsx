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7e58960adb48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6_Menu" sheetId="1" r:id="Rb1c6c4d9982847a9"/>
  </x:sheets>
</x:workbook>
</file>

<file path=xl/comments1.xml><?xml version="1.0" encoding="utf-8"?>
<x:comments xmlns:x="http://schemas.openxmlformats.org/spreadsheetml/2006/main">
  <x:authors>
    <x:author>tc={41D2B537-57DA-C683-7B28-79139C1A524A}</x:author>
  </x:authors>
  <x:commentList>
    <x:comment ref="G3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Mức giảm 8–10% là giả định đề xuất, tham chiếu các chiến dịch “Weekend Combo” và “Combo cuối tuần” trong 01_POS_Export_2026(1).xlsx và 05_Context_Calendar(1).xlsx.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<x:sst xmlns:x="http://schemas.openxmlformats.org/spreadsheetml/2006/main">
  <x:si>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DANH MỤC MENU — MÓN LẺ &amp; COMBO</x:t>
  </x:si>
  <x:si>
    <x:t xml:space="preserve">Mã món</x:t>
  </x:si>
  <x:si>
    <x:t xml:space="preserve">Loại</x:t>
  </x:si>
  <x:si>
    <x:t xml:space="preserve">Tên món / Combo</x:t>
  </x:si>
  <x:si>
    <x:t xml:space="preserve">Thành phần combo</x:t>
  </x:si>
  <x:si>
    <x:t xml:space="preserve">ĐVT</x:t>
  </x:si>
  <x:si>
    <x:t xml:space="preserve">Tổng giá lẻ</x:t>
  </x:si>
  <x:si>
    <x:t xml:space="preserve">Mức giảm</x:t>
  </x:si>
  <x:si>
    <x:t xml:space="preserve">Giá bán</x:t>
  </x:si>
  <x:si>
    <x:t xml:space="preserve">Tiết kiệm</x:t>
  </x:si>
  <x:si>
    <x:t xml:space="preserve">Trạng thái</x:t>
  </x:si>
  <x:si>
    <x:t xml:space="preserve">t1</x:t>
  </x:si>
  <x:si>
    <x:t xml:space="preserve">Món lẻ</x:t>
  </x:si>
  <x:si>
    <x:t xml:space="preserve">Sinh tố chuối</x:t>
  </x:si>
  <x:si>
    <x:t xml:space="preserve">—</x:t>
  </x:si>
  <x:si>
    <x:t xml:space="preserve">ly</x:t>
  </x:si>
  <x:si>
    <x:t xml:space="preserve">Đang bán</x:t>
  </x:si>
  <x:si>
    <x:t xml:space="preserve">t2</x:t>
  </x:si>
  <x:si>
    <x:t xml:space="preserve">Trà sữa trân châu</x:t>
  </x:si>
  <x:si>
    <x:t xml:space="preserve">t3</x:t>
  </x:si>
  <x:si>
    <x:t xml:space="preserve">Cà phê sữa</x:t>
  </x:si>
  <x:si>
    <x:t xml:space="preserve">t4</x:t>
  </x:si>
  <x:si>
    <x:t xml:space="preserve">Nước cam</x:t>
  </x:si>
  <x:si>
    <x:t xml:space="preserve">t5</x:t>
  </x:si>
  <x:si>
    <x:t xml:space="preserve">Matcha latte</x:t>
  </x:si>
  <x:si>
    <x:t xml:space="preserve">t6</x:t>
  </x:si>
  <x:si>
    <x:t xml:space="preserve">Combo</x:t>
  </x:si>
  <x:si>
    <x:t xml:space="preserve">Combo Cặp Đôi</x:t>
  </x:si>
  <x:si>
    <x:t xml:space="preserve">1 × Trà sữa trân châu + 1 × Cà phê sữa</x:t>
  </x:si>
  <x:si>
    <x:t xml:space="preserve">combo</x:t>
  </x:si>
  <x:si>
    <x:t xml:space="preserve">t7</x:t>
  </x:si>
  <x:si>
    <x:t xml:space="preserve">Combo Tươi Mát</x:t>
  </x:si>
  <x:si>
    <x:t xml:space="preserve">1 × Sinh tố chuối + 1 × Nước cam</x:t>
  </x:si>
  <x:si>
    <x:t xml:space="preserve">t8</x:t>
  </x:si>
  <x:si>
    <x:t xml:space="preserve">Combo Latte Lovers</x:t>
  </x:si>
  <x:si>
    <x:t xml:space="preserve">1 × Trà sữa trân châu + 1 × Matcha latte</x:t>
  </x:si>
  <x:si>
    <x:t xml:space="preserve">t9</x:t>
  </x:si>
  <x:si>
    <x:t xml:space="preserve">Combo Cà Phê Hội Bạn</x:t>
  </x:si>
  <x:si>
    <x:t xml:space="preserve">2 × Cà phê sữa + 1 × Trà sữa trân châu</x:t>
  </x:si>
  <x:si>
    <x:t xml:space="preserve">t10</x:t>
  </x:si>
  <x:si>
    <x:t xml:space="preserve">Combo Nhóm 3 Đủ Vị</x:t>
  </x:si>
  <x:si>
    <x:t xml:space="preserve">1 × Sinh tố chuối + 1 × Nước cam + 1 × Matcha latte</x:t>
  </x:si>
</x:sst>
</file>

<file path=xl/styles.xml><?xml version="1.0" encoding="utf-8"?>
<x:styleSheet xmlns:x="http://schemas.openxmlformats.org/spreadsheetml/2006/main">
  <x:numFmts count="1">
    <x:numFmt numFmtId="164" formatCode="#,##0\ &quot;VND&quot;"/>
  </x:numFmts>
  <x:fonts count="8">
    <x:font>
      <x:sz val="11"/>
      <x:name val="Carlito"/>
    </x:font>
    <x:font>
      <x:b/>
      <x:sz val="18"/>
      <x:color rgb="FFFFFFFF"/>
      <x:name val="Aptos Display"/>
    </x:font>
    <x:font>
      <x:i/>
      <x:sz val="11"/>
      <x:color rgb="FF315A74"/>
      <x:name val="Aptos"/>
    </x:font>
    <x:font>
      <x:b/>
      <x:sz val="11"/>
      <x:color rgb="FFFFFFFF"/>
      <x:name val="Aptos"/>
    </x:font>
    <x:font>
      <x:sz val="10"/>
      <x:color rgb="FF17202A"/>
      <x:name val="Aptos"/>
    </x:font>
    <x:font>
      <x:b/>
      <x:sz val="10"/>
      <x:color rgb="FF176B3A"/>
      <x:name val="Aptos"/>
    </x:font>
    <x:font>
      <x:sz val="10"/>
      <x:color rgb="FF8A5B00"/>
      <x:name val="Aptos"/>
    </x:font>
    <x:font>
      <x:sz val="8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93A5A"/>
      </x:patternFill>
    </x:fill>
    <x:fill>
      <x:patternFill patternType="solid">
        <x:fgColor rgb="FFE8F5FA"/>
      </x:patternFill>
    </x:fill>
    <x:fill>
      <x:patternFill patternType="solid">
        <x:fgColor rgb="FF247C9B"/>
      </x:patternFill>
    </x:fill>
    <x:fill>
      <x:patternFill patternType="solid">
        <x:fgColor rgb="FFBFE5F3"/>
      </x:patternFill>
    </x:fill>
    <x:fill>
      <x:patternFill patternType="solid">
        <x:fgColor rgb="FFE3F3E8"/>
      </x:patternFill>
    </x:fill>
    <x:fill>
      <x:patternFill patternType="solid">
        <x:fgColor rgb="FFFFF3D6"/>
      </x:patternFill>
    </x:fill>
  </x:fills>
  <x:borders count="2">
    <x:border/>
    <x:border>
      <x:left style="thin">
        <x:color rgb="FF42B6E6"/>
      </x:left>
      <x:right style="thin">
        <x:color rgb="FF42B6E6"/>
      </x:right>
      <x:top style="thin">
        <x:color rgb="FF42B6E6"/>
      </x:top>
      <x:bottom style="thin">
        <x:color rgb="FF42B6E6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3" fillId="4" borderId="0" xfId="0" applyFont="1" applyFill="1" applyAlignment="1">
      <x:alignment horizontal="center" vertical="center" wrapText="1"/>
    </x:xf>
    <x:xf numFmtId="0" fontId="4" fillId="0" borderId="1" xfId="0" applyFont="1" applyBorder="1" applyAlignment="1">
      <x:alignment vertical="center"/>
    </x:xf>
    <x:xf numFmtId="0" fontId="4" fillId="5" borderId="1" xfId="0" applyFont="1" applyFill="1" applyBorder="1" applyAlignment="1">
      <x:alignment vertical="center"/>
    </x:xf>
    <x:xf numFmtId="0" fontId="4" fillId="5" borderId="1" xfId="0" applyFont="1" applyFill="1" applyBorder="1" applyAlignment="1">
      <x:alignment horizontal="center" vertical="center"/>
    </x:xf>
    <x:xf numFmtId="0" fontId="4" fillId="0" borderId="1" xfId="0" applyFont="1" applyBorder="1" applyAlignment="1">
      <x:alignment horizontal="center" vertical="center"/>
    </x:xf>
    <x:xf numFmtId="164" fontId="4" fillId="5" borderId="1" xfId="0" applyNumberFormat="1" applyFont="1" applyFill="1" applyBorder="1" applyAlignment="1">
      <x:alignment vertical="center"/>
    </x:xf>
    <x:xf numFmtId="164" fontId="4" fillId="0" borderId="1" xfId="0" applyNumberFormat="1" applyFont="1" applyBorder="1" applyAlignment="1">
      <x:alignment vertical="center"/>
    </x:xf>
    <x:xf numFmtId="9" fontId="4" fillId="5" borderId="1" xfId="0" applyNumberFormat="1" applyFont="1" applyFill="1" applyBorder="1" applyAlignment="1">
      <x:alignment horizontal="center" vertical="center"/>
    </x:xf>
    <x:xf numFmtId="9" fontId="4" fillId="0" borderId="1" xfId="0" applyNumberFormat="1" applyFont="1" applyBorder="1" applyAlignment="1">
      <x:alignment horizontal="center" vertical="center"/>
    </x:xf>
    <x:xf numFmtId="164" fontId="5" fillId="6" borderId="1" xfId="0" applyNumberFormat="1" applyFont="1" applyFill="1" applyBorder="1" applyAlignment="1">
      <x:alignment vertical="center"/>
    </x:xf>
    <x:xf numFmtId="164" fontId="6" fillId="7" borderId="1" xfId="0" applyNumberFormat="1" applyFont="1" applyFill="1" applyBorder="1" applyAlignment="1">
      <x:alignment vertical="center"/>
    </x:xf>
    <x:xf numFmtId="0" fontId="4" fillId="5" borderId="1" xfId="0" applyFont="1" applyFill="1" applyBorder="1" applyAlignment="1">
      <x:alignment vertical="center" wrapText="1"/>
    </x:xf>
    <x:xf numFmtId="0" fontId="4" fillId="0" borderId="1" xfId="0" applyFont="1" applyBorder="1" applyAlignment="1">
      <x:alignment vertical="center" wrapText="1"/>
    </x:xf>
    <x:xf numFmtId="0" fontId="1" fillId="2" borderId="0" xfId="0" applyFont="1" applyFill="1" applyAlignment="1">
      <x:alignment vertical="center"/>
    </x:xf>
    <x:xf numFmtId="0" fontId="2" fillId="3" borderId="0" xfId="0" applyFont="1" applyFill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4ed50362bf4510" /><Relationship Type="http://schemas.openxmlformats.org/officeDocument/2006/relationships/theme" Target="/xl/theme/theme1.xml" Id="R7d5767252c284957" /><Relationship Type="http://schemas.openxmlformats.org/officeDocument/2006/relationships/sharedStrings" Target="/xl/sharedStrings.xml" Id="R362235a979304b46" /><Relationship Type="http://schemas.openxmlformats.org/officeDocument/2006/relationships/worksheet" Target="/xl/worksheets/sheet1.xml" Id="Rb1c6c4d9982847a9" /><Relationship Type="http://schemas.microsoft.com/office/2017/10/relationships/person" Target="/xl/persons/person.xml" Id="Rd611f3c9155e4954" /></Relationships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9</xdr:col>
      <xdr:colOff>50800</xdr:colOff>
      <xdr:row>53</xdr:row>
      <xdr:rowOff>25400</xdr:rowOff>
    </xdr:to>
    <xdr:sp>
      <xdr:nvSpPr>
        <xdr:cNvPr id="1" name="Text Box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700000" cy="127000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User" id="{9C221549-16A6-4A47-A403-6C7C66106C9F}"/>
</xltc:personList>
</file>

<file path=xl/tables/table1.xml><?xml version="1.0" encoding="utf-8"?>
<x:table xmlns:x="http://schemas.openxmlformats.org/spreadsheetml/2006/main" id="1" name="MenuTable" displayName="MenuTable" ref="A3:J13" totalsRowShown="0">
  <x:autoFilter ref="A3:J13"/>
  <x:tableColumns count="10">
    <x:tableColumn id="1" name="Mã món"/>
    <x:tableColumn id="2" name="Loại"/>
    <x:tableColumn id="3" name="Tên món / Combo"/>
    <x:tableColumn id="4" name="Thành phần combo"/>
    <x:tableColumn id="5" name="ĐVT"/>
    <x:tableColumn id="6" name="Tổng giá lẻ"/>
    <x:tableColumn id="7" name="Mức giảm"/>
    <x:tableColumn id="8" name="Giá bán"/>
    <x:tableColumn id="9" name="Tiết kiệm"/>
    <x:tableColumn id="10" name="Trạng thái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G3" dT="2026-07-29T11:05:50.58" personId="{9C221549-16A6-4A47-A403-6C7C66106C9F}" id="{41D2B537-57DA-C683-7B28-79139C1A524A}">
    <xltc:text>Mức giảm 8–10% là giả định đề xuất, tham chiếu các chiến dịch “Weekend Combo” và “Combo cuối tuần” trong 01_POS_Export_2026(1).xlsx và 05_Context_Calendar(1).xlsx.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bcd5267f5bf34325" /><Relationship Type="http://schemas.openxmlformats.org/officeDocument/2006/relationships/vmlDrawing" Target="/xl/drawings/vmldrawing.vml" Id="R8c74b2b370aa407f" /><Relationship Type="http://schemas.microsoft.com/office/2017/10/relationships/threadedComment" Target="/xl/threadedcomments/threadedcomment.xml" Id="Readaa0fb9cf6422a" /><Relationship Type="http://schemas.openxmlformats.org/officeDocument/2006/relationships/drawing" Target="/xl/drawings/drawing1.xml" Id="R4350fbb60ac74dbc" /><Relationship Type="http://schemas.openxmlformats.org/officeDocument/2006/relationships/table" Target="/xl/tables/table1.xml" Id="R27213f71f131416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1" width="13" customWidth="1"/>
    <x:col min="2" max="2" width="12" customWidth="1"/>
    <x:col min="3" max="3" width="25" customWidth="1"/>
    <x:col min="4" max="4" width="48" customWidth="1"/>
    <x:col min="5" max="5" width="10" customWidth="1"/>
    <x:col min="6" max="6" width="16" customWidth="1"/>
    <x:col min="7" max="7" width="12" customWidth="1"/>
    <x:col min="8" max="8" width="16" customWidth="1"/>
    <x:col min="9" max="10" width="14" customWidth="1"/>
  </x:cols>
  <x:sheetData>
    <x:row r="1" ht="34" customHeight="1">
      <x:c r="A1" s="14" t="s">
        <x:v>0</x:v>
      </x:c>
      <x:c r="B1" s="14"/>
      <x:c r="C1" s="14"/>
      <x:c r="D1" s="14"/>
      <x:c r="E1" s="14"/>
      <x:c r="F1" s="14"/>
      <x:c r="G1" s="14"/>
      <x:c r="H1" s="14"/>
      <x:c r="I1" s="14"/>
      <x:c r="J1" s="14"/>
    </x:row>
    <x:row r="2" ht="30" customHeight="1">
      <x:c r="A2" s="15" t="str">
        <x:v>5 món lẻ đang bán phục vụ forecast/procurement demo; combo được giữ làm dữ liệu UI nhưng tạm dừng để tránh đi vào BOM khi chưa có recipe combo.</x:v>
      </x:c>
      <x:c r="B2" s="15"/>
      <x:c r="C2" s="15"/>
      <x:c r="D2" s="15"/>
      <x:c r="E2" s="15"/>
      <x:c r="F2" s="15"/>
      <x:c r="G2" s="15"/>
      <x:c r="H2" s="15"/>
      <x:c r="I2" s="15"/>
      <x:c r="J2" s="15"/>
    </x:row>
    <x:row r="3" ht="34" customHeight="1">
      <x:c r="A3" s="1" t="s">
        <x:v>1</x:v>
      </x:c>
      <x:c r="B3" s="1" t="s">
        <x:v>2</x:v>
      </x:c>
      <x:c r="C3" s="1" t="s">
        <x:v>3</x:v>
      </x:c>
      <x:c r="D3" s="1" t="s">
        <x:v>4</x:v>
      </x:c>
      <x:c r="E3" s="1" t="s">
        <x:v>5</x:v>
      </x:c>
      <x:c r="F3" s="1" t="s">
        <x:v>6</x:v>
      </x:c>
      <x:c r="G3" s="1" t="s">
        <x:v>7</x:v>
      </x:c>
      <x:c r="H3" s="1" t="s">
        <x:v>8</x:v>
      </x:c>
      <x:c r="I3" s="1" t="s">
        <x:v>9</x:v>
      </x:c>
      <x:c r="J3" s="1" t="s">
        <x:v>10</x:v>
      </x:c>
    </x:row>
    <x:row r="4" ht="30" customHeight="1">
      <x:c r="A4" s="4" t="s">
        <x:v>11</x:v>
      </x:c>
      <x:c r="B4" s="4" t="s">
        <x:v>12</x:v>
      </x:c>
      <x:c r="C4" s="3" t="s">
        <x:v>13</x:v>
      </x:c>
      <x:c r="D4" s="12" t="s">
        <x:v>14</x:v>
      </x:c>
      <x:c r="E4" s="4" t="s">
        <x:v>15</x:v>
      </x:c>
      <x:c r="F4" s="6">
        <x:v>35000</x:v>
      </x:c>
      <x:c r="G4" s="8">
        <x:v>0</x:v>
      </x:c>
      <x:c r="H4" s="10" t="n">
        <x:f t="shared" ref="H4:H13" si="0">ROUND(F4*(1-G4),-3)</x:f>
        <x:v>35000</x:v>
      </x:c>
      <x:c r="I4" s="11" t="n">
        <x:f t="shared" ref="I4:I13" si="1">F4-H4</x:f>
        <x:v>0</x:v>
      </x:c>
      <x:c r="J4" s="4" t="s">
        <x:v>16</x:v>
      </x:c>
    </x:row>
    <x:row r="5" ht="30" customHeight="1">
      <x:c r="A5" s="5" t="s">
        <x:v>17</x:v>
      </x:c>
      <x:c r="B5" s="5" t="s">
        <x:v>12</x:v>
      </x:c>
      <x:c r="C5" s="2" t="s">
        <x:v>18</x:v>
      </x:c>
      <x:c r="D5" s="13" t="s">
        <x:v>14</x:v>
      </x:c>
      <x:c r="E5" s="5" t="s">
        <x:v>15</x:v>
      </x:c>
      <x:c r="F5" s="7">
        <x:v>39000</x:v>
      </x:c>
      <x:c r="G5" s="9">
        <x:v>0</x:v>
      </x:c>
      <x:c r="H5" s="10">
        <x:f t="shared" si="0"/>
        <x:v>39000</x:v>
      </x:c>
      <x:c r="I5" s="11">
        <x:f t="shared" si="1"/>
        <x:v>0</x:v>
      </x:c>
      <x:c r="J5" s="5" t="s">
        <x:v>16</x:v>
      </x:c>
    </x:row>
    <x:row r="6" ht="30" customHeight="1">
      <x:c r="A6" s="4" t="s">
        <x:v>19</x:v>
      </x:c>
      <x:c r="B6" s="4" t="s">
        <x:v>12</x:v>
      </x:c>
      <x:c r="C6" s="3" t="s">
        <x:v>20</x:v>
      </x:c>
      <x:c r="D6" s="12" t="s">
        <x:v>14</x:v>
      </x:c>
      <x:c r="E6" s="4" t="s">
        <x:v>15</x:v>
      </x:c>
      <x:c r="F6" s="6">
        <x:v>29000</x:v>
      </x:c>
      <x:c r="G6" s="8">
        <x:v>0</x:v>
      </x:c>
      <x:c r="H6" s="10">
        <x:f t="shared" si="0"/>
        <x:v>29000</x:v>
      </x:c>
      <x:c r="I6" s="11">
        <x:f t="shared" si="1"/>
        <x:v>0</x:v>
      </x:c>
      <x:c r="J6" s="4" t="s">
        <x:v>16</x:v>
      </x:c>
    </x:row>
    <x:row r="7" ht="30" customHeight="1">
      <x:c r="A7" s="4" t="s">
        <x:v>21</x:v>
      </x:c>
      <x:c r="B7" s="5" t="s">
        <x:v>12</x:v>
      </x:c>
      <x:c r="C7" s="2" t="s">
        <x:v>22</x:v>
      </x:c>
      <x:c r="D7" s="13" t="s">
        <x:v>14</x:v>
      </x:c>
      <x:c r="E7" s="5" t="s">
        <x:v>15</x:v>
      </x:c>
      <x:c r="F7" s="7">
        <x:v>42000</x:v>
      </x:c>
      <x:c r="G7" s="9">
        <x:v>0</x:v>
      </x:c>
      <x:c r="H7" s="10">
        <x:f t="shared" si="0"/>
        <x:v>42000</x:v>
      </x:c>
      <x:c r="I7" s="11">
        <x:f t="shared" si="1"/>
        <x:v>0</x:v>
      </x:c>
      <x:c r="J7" s="5" t="s">
        <x:v>16</x:v>
      </x:c>
    </x:row>
    <x:row r="8" ht="30" customHeight="1">
      <x:c r="A8" s="5" t="s">
        <x:v>23</x:v>
      </x:c>
      <x:c r="B8" s="4" t="s">
        <x:v>12</x:v>
      </x:c>
      <x:c r="C8" s="3" t="s">
        <x:v>24</x:v>
      </x:c>
      <x:c r="D8" s="12" t="s">
        <x:v>14</x:v>
      </x:c>
      <x:c r="E8" s="4" t="s">
        <x:v>15</x:v>
      </x:c>
      <x:c r="F8" s="6">
        <x:v>45000</x:v>
      </x:c>
      <x:c r="G8" s="8">
        <x:v>0</x:v>
      </x:c>
      <x:c r="H8" s="10">
        <x:f t="shared" si="0"/>
        <x:v>45000</x:v>
      </x:c>
      <x:c r="I8" s="11">
        <x:f t="shared" si="1"/>
        <x:v>0</x:v>
      </x:c>
      <x:c r="J8" s="4" t="s">
        <x:v>16</x:v>
      </x:c>
    </x:row>
    <x:row r="9" ht="30" customHeight="1">
      <x:c r="A9" s="4" t="s">
        <x:v>25</x:v>
      </x:c>
      <x:c r="B9" s="5" t="s">
        <x:v>26</x:v>
      </x:c>
      <x:c r="C9" s="2" t="s">
        <x:v>27</x:v>
      </x:c>
      <x:c r="D9" s="13" t="s">
        <x:v>28</x:v>
      </x:c>
      <x:c r="E9" s="5" t="s">
        <x:v>29</x:v>
      </x:c>
      <x:c r="F9" s="7" t="n">
        <x:f>$F$5+$F$6</x:f>
        <x:v>68000</x:v>
      </x:c>
      <x:c r="G9" s="9">
        <x:v>0.09</x:v>
      </x:c>
      <x:c r="H9" s="10">
        <x:f t="shared" si="0"/>
        <x:v>62000</x:v>
      </x:c>
      <x:c r="I9" s="11">
        <x:f t="shared" si="1"/>
        <x:v>6000</x:v>
      </x:c>
      <x:c r="J9" s="5" t="str">
        <x:v>Tạm dừng</x:v>
      </x:c>
    </x:row>
    <x:row r="10" ht="30" customHeight="1">
      <x:c r="A10" s="4" t="s">
        <x:v>30</x:v>
      </x:c>
      <x:c r="B10" s="4" t="s">
        <x:v>26</x:v>
      </x:c>
      <x:c r="C10" s="3" t="s">
        <x:v>31</x:v>
      </x:c>
      <x:c r="D10" s="12" t="s">
        <x:v>32</x:v>
      </x:c>
      <x:c r="E10" s="4" t="s">
        <x:v>29</x:v>
      </x:c>
      <x:c r="F10" s="6" t="n">
        <x:f>$F$4+$F$7</x:f>
        <x:v>77000</x:v>
      </x:c>
      <x:c r="G10" s="8">
        <x:v>0.09</x:v>
      </x:c>
      <x:c r="H10" s="10">
        <x:f t="shared" si="0"/>
        <x:v>70000</x:v>
      </x:c>
      <x:c r="I10" s="11">
        <x:f t="shared" si="1"/>
        <x:v>7000</x:v>
      </x:c>
      <x:c r="J10" s="4" t="str">
        <x:v>Tạm dừng</x:v>
      </x:c>
    </x:row>
    <x:row r="11" ht="30" customHeight="1">
      <x:c r="A11" s="5" t="s">
        <x:v>33</x:v>
      </x:c>
      <x:c r="B11" s="5" t="s">
        <x:v>26</x:v>
      </x:c>
      <x:c r="C11" s="2" t="s">
        <x:v>34</x:v>
      </x:c>
      <x:c r="D11" s="13" t="s">
        <x:v>35</x:v>
      </x:c>
      <x:c r="E11" s="5" t="s">
        <x:v>29</x:v>
      </x:c>
      <x:c r="F11" s="7" t="n">
        <x:f>$F$5+$F$8</x:f>
        <x:v>84000</x:v>
      </x:c>
      <x:c r="G11" s="9">
        <x:v>0.1</x:v>
      </x:c>
      <x:c r="H11" s="10">
        <x:f t="shared" si="0"/>
        <x:v>76000</x:v>
      </x:c>
      <x:c r="I11" s="11">
        <x:f t="shared" si="1"/>
        <x:v>8000</x:v>
      </x:c>
      <x:c r="J11" s="5" t="str">
        <x:v>Tạm dừng</x:v>
      </x:c>
    </x:row>
    <x:row r="12" ht="30" customHeight="1">
      <x:c r="A12" s="4" t="s">
        <x:v>36</x:v>
      </x:c>
      <x:c r="B12" s="4" t="s">
        <x:v>26</x:v>
      </x:c>
      <x:c r="C12" s="3" t="s">
        <x:v>37</x:v>
      </x:c>
      <x:c r="D12" s="12" t="s">
        <x:v>38</x:v>
      </x:c>
      <x:c r="E12" s="4" t="s">
        <x:v>29</x:v>
      </x:c>
      <x:c r="F12" s="6" t="n">
        <x:f>2*$F$6+$F$5</x:f>
        <x:v>97000</x:v>
      </x:c>
      <x:c r="G12" s="8">
        <x:v>0.08</x:v>
      </x:c>
      <x:c r="H12" s="10">
        <x:f t="shared" si="0"/>
        <x:v>89000</x:v>
      </x:c>
      <x:c r="I12" s="11">
        <x:f t="shared" si="1"/>
        <x:v>8000</x:v>
      </x:c>
      <x:c r="J12" s="4" t="str">
        <x:v>Tạm dừng</x:v>
      </x:c>
    </x:row>
    <x:row r="13" ht="30" customHeight="1">
      <x:c r="A13" s="4" t="s">
        <x:v>39</x:v>
      </x:c>
      <x:c r="B13" s="5" t="s">
        <x:v>26</x:v>
      </x:c>
      <x:c r="C13" s="2" t="s">
        <x:v>40</x:v>
      </x:c>
      <x:c r="D13" s="13" t="s">
        <x:v>41</x:v>
      </x:c>
      <x:c r="E13" s="5" t="s">
        <x:v>29</x:v>
      </x:c>
      <x:c r="F13" s="7" t="n">
        <x:f>$F$4+$F$7+$F$8</x:f>
        <x:v>122000</x:v>
      </x:c>
      <x:c r="G13" s="9">
        <x:v>0.1</x:v>
      </x:c>
      <x:c r="H13" s="10">
        <x:f t="shared" si="0"/>
        <x:v>110000</x:v>
      </x:c>
      <x:c r="I13" s="11">
        <x:f t="shared" si="1"/>
        <x:v>12000</x:v>
      </x:c>
      <x:c r="J13" s="5" t="str">
        <x:v>Tạm dừng</x:v>
      </x:c>
    </x:row>
  </x:sheetData>
  <x:mergeCells>
    <x:mergeCell ref="A1:J1"/>
    <x:mergeCell ref="A2:J2"/>
  </x:mergeCells>
  <x:dataValidations count="2">
    <x:dataValidation type="list" sqref="B4:B13">
      <x:formula1>"Món lẻ,Combo"</x:formula1>
    </x:dataValidation>
    <x:dataValidation type="list" sqref="J4:J13">
      <x:formula1>"Đang bán,Tạm ngưng"</x:formula1>
    </x:dataValidation>
  </x:dataValidations>
  <x:pageMargins left="0.7" right="0.7" top="0.75" bottom="0.75" header="0.3" footer="0.3"/>
  <x:drawing xmlns:r="http://schemas.openxmlformats.org/officeDocument/2006/relationships" r:id="R4350fbb60ac74dbc"/>
  <x:legacyDrawing xmlns:r="http://schemas.openxmlformats.org/officeDocument/2006/relationships" r:id="R8c74b2b370aa407f"/>
  <x:tableParts count="1">
    <x:tablePart xmlns:r="http://schemas.openxmlformats.org/officeDocument/2006/relationships" r:id="R27213f71f131416f"/>
  </x:tableParts>
</x:worksheet>
</file>