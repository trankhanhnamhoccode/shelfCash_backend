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f0e0d222fb4e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6_Menu" sheetId="1" r:id="R81ea6977dcbf498d"/>
  </x:sheets>
</x:workbook>
</file>

<file path=xl/comments1.xml><?xml version="1.0" encoding="utf-8"?>
<x:comments xmlns:x="http://schemas.openxmlformats.org/spreadsheetml/2006/main">
  <x:authors>
    <x:author>tc={41D2B537-57DA-C683-7B28-79139C1A524A}</x:author>
  </x:authors>
  <x:commentList>
    <x:comment ref="G3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Mức giảm 8–10% là giả định đề xuất, tham chiếu các chiến dịch “Weekend Combo” và “Combo cuối tuần” trong 01_POS_Export_2026(1).xlsx và 05_Context_Calendar(1).xlsx.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 &quot;VND&quot;"/>
    <x:numFmt numFmtId="201" formatCode="0%"/>
  </x:numFmts>
  <x:fonts count="7">
    <x:font>
      <x:sz val="11"/>
      <x:name val="Carlito"/>
    </x:font>
    <x:font>
      <x:b/>
      <x:sz val="18"/>
      <x:color rgb="FFFFFFFF"/>
      <x:name val="Aptos Display"/>
    </x:font>
    <x:font>
      <x:i/>
      <x:sz val="11"/>
      <x:color rgb="FF315A74"/>
      <x:name val="Aptos"/>
    </x:font>
    <x:font>
      <x:b/>
      <x:sz val="11"/>
      <x:color rgb="FFFFFFFF"/>
      <x:name val="Aptos"/>
    </x:font>
    <x:font>
      <x:sz val="10"/>
      <x:color rgb="FF17202A"/>
      <x:name val="Aptos"/>
    </x:font>
    <x:font>
      <x:b/>
      <x:sz val="10"/>
      <x:color rgb="FF176B3A"/>
      <x:name val="Aptos"/>
    </x:font>
    <x:font>
      <x:sz val="10"/>
      <x:color rgb="FF8A5B00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93A5A"/>
      </x:patternFill>
    </x:fill>
    <x:fill>
      <x:patternFill patternType="solid">
        <x:fgColor rgb="FFE8F5FA"/>
      </x:patternFill>
    </x:fill>
    <x:fill>
      <x:patternFill patternType="solid">
        <x:fgColor rgb="FF247C9B"/>
      </x:patternFill>
    </x:fill>
    <x:fill>
      <x:patternFill patternType="solid">
        <x:fgColor rgb="FFBFE5F3"/>
      </x:patternFill>
    </x:fill>
    <x:fill>
      <x:patternFill patternType="solid">
        <x:fgColor rgb="FFE3F3E8"/>
      </x:patternFill>
    </x:fill>
    <x:fill>
      <x:patternFill patternType="solid">
        <x:fgColor rgb="FFFFF3D6"/>
      </x:patternFill>
    </x:fill>
  </x:fills>
  <x:borders count="2">
    <x:border/>
    <x:border>
      <x:left style="thin">
        <x:color rgb="FF42B6E6"/>
      </x:left>
      <x:right style="thin">
        <x:color rgb="FF42B6E6"/>
      </x:right>
      <x:top style="thin">
        <x:color rgb="FF42B6E6"/>
      </x:top>
      <x:bottom style="thin">
        <x:color rgb="FF42B6E6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200" fontId="4" fillId="5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1" fontId="4" fillId="5" borderId="1" xfId="0" applyNumberFormat="1" applyFont="1" applyFill="1" applyBorder="1" applyAlignment="1">
      <x:alignment horizontal="center" vertical="center"/>
    </x:xf>
    <x:xf numFmtId="201" fontId="4" fillId="0" borderId="1" xfId="0" applyNumberFormat="1" applyFont="1" applyFill="1" applyBorder="1" applyAlignment="1">
      <x:alignment horizontal="center" vertical="center"/>
    </x:xf>
    <x:xf numFmtId="200" fontId="4" fillId="6" borderId="1" xfId="0" applyNumberFormat="1" applyFont="1" applyFill="1" applyBorder="1" applyAlignment="1">
      <x:alignment vertical="center"/>
    </x:xf>
    <x:xf numFmtId="200" fontId="5" fillId="6" borderId="1" xfId="0" applyNumberFormat="1" applyFont="1" applyFill="1" applyBorder="1" applyAlignment="1">
      <x:alignment vertical="center"/>
    </x:xf>
    <x:xf numFmtId="200" fontId="4" fillId="7" borderId="1" xfId="0" applyNumberFormat="1" applyFont="1" applyFill="1" applyBorder="1" applyAlignment="1">
      <x:alignment vertical="center"/>
    </x:xf>
    <x:xf numFmtId="200" fontId="6" fillId="7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513c8a953f4e09" /><Relationship Type="http://schemas.openxmlformats.org/officeDocument/2006/relationships/theme" Target="/xl/theme/theme1.xml" Id="Rc0992028ef934d8f" /><Relationship Type="http://schemas.openxmlformats.org/officeDocument/2006/relationships/sharedStrings" Target="/xl/sharedStrings.xml" Id="Rfaddeb05552548a7" /><Relationship Type="http://schemas.openxmlformats.org/officeDocument/2006/relationships/worksheet" Target="/xl/worksheets/sheet1.xml" Id="R81ea6977dcbf498d" /><Relationship Type="http://schemas.microsoft.com/office/2017/10/relationships/person" Target="/xl/persons/person.xml" Id="R02b20395b2364e99" /></Relationships>
</file>

<file path=xl/persons/person.xml><?xml version="1.0" encoding="utf-8"?>
<xltc:personList xmlns:xltc="http://schemas.microsoft.com/office/spreadsheetml/2018/threadedcomments">
  <xltc:person displayName="User" id="{9C221549-16A6-4A47-A403-6C7C66106C9F}"/>
</xltc:personList>
</file>

<file path=xl/tables/table1.xml><?xml version="1.0" encoding="utf-8"?>
<x:table xmlns:x="http://schemas.openxmlformats.org/spreadsheetml/2006/main" id="1" name="MenuTable" displayName="MenuTable" ref="A3:J13" headerRowCount="1" totalsRowCount="0" totalsRowShown="0">
  <x:autoFilter ref="A3:J13"/>
  <x:tableColumns count="10">
    <x:tableColumn id="1" name="Mã món"/>
    <x:tableColumn id="2" name="Loại"/>
    <x:tableColumn id="3" name="Tên món / Combo"/>
    <x:tableColumn id="4" name="Thành phần combo"/>
    <x:tableColumn id="5" name="ĐVT"/>
    <x:tableColumn id="6" name="Tổng giá lẻ"/>
    <x:tableColumn id="7" name="Mức giảm"/>
    <x:tableColumn id="8" name="Giá bán"/>
    <x:tableColumn id="9" name="Tiết kiệm"/>
    <x:tableColumn id="10" name="Trạng thá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G3" dT="2026-07-29T11:05:50.58" personId="{9C221549-16A6-4A47-A403-6C7C66106C9F}" id="{41D2B537-57DA-C683-7B28-79139C1A524A}">
    <xltc:text>Mức giảm 8–10% là giả định đề xuất, tham chiếu các chiến dịch “Weekend Combo” và “Combo cuối tuần” trong 01_POS_Export_2026(1).xlsx và 05_Context_Calendar(1).xlsx.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39148961e21b4460" /><Relationship Type="http://schemas.openxmlformats.org/officeDocument/2006/relationships/vmlDrawing" Target="/xl/drawings/vmldrawing.vml" Id="Rd0b21260f4d14d5e" /><Relationship Type="http://schemas.microsoft.com/office/2017/10/relationships/threadedComment" Target="/xl/threadedcomments/threadedcomment.xml" Id="R2c5853af08764263" /><Relationship Type="http://schemas.openxmlformats.org/officeDocument/2006/relationships/table" Target="/xl/tables/table1.xml" Id="R08bf8cbff55246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25" hidden="0" customWidth="1"/>
    <x:col min="4" max="4" width="48" hidden="0" customWidth="1"/>
    <x:col min="5" max="5" width="10" hidden="0" customWidth="1"/>
    <x:col min="6" max="6" width="16" hidden="0" customWidth="1"/>
    <x:col min="7" max="7" width="12" hidden="0" customWidth="1"/>
    <x:col min="8" max="8" width="16" hidden="0" customWidth="1"/>
    <x:col min="9" max="9" width="14" hidden="0" customWidth="1"/>
    <x:col min="10" max="10" width="14" hidden="0" customWidth="1"/>
  </x:cols>
  <x:sheetData>
    <x:row r="1" ht="34" customHeight="1">
      <x:c r="A1" s="3" t="str">
        <x:v>DANH MỤC MENU — MÓN LẺ &amp; COMBO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6" t="str">
        <x:v>5 món lẻ lấy giá chuẩn từ POS; 5 combo được đề xuất từ các món hiện có, giảm 8–10% so với tổng giá lẻ.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 ht="34" customHeight="1">
      <x:c r="A3" s="11" t="str">
        <x:v>Mã món</x:v>
      </x:c>
      <x:c r="B3" s="11" t="str">
        <x:v>Loại</x:v>
      </x:c>
      <x:c r="C3" s="11" t="str">
        <x:v>Tên món / Combo</x:v>
      </x:c>
      <x:c r="D3" s="11" t="str">
        <x:v>Thành phần combo</x:v>
      </x:c>
      <x:c r="E3" s="11" t="str">
        <x:v>ĐVT</x:v>
      </x:c>
      <x:c r="F3" s="11" t="str">
        <x:v>Tổng giá lẻ</x:v>
      </x:c>
      <x:c r="G3" s="11" t="str">
        <x:v>Mức giảm</x:v>
      </x:c>
      <x:c r="H3" s="11" t="str">
        <x:v>Giá bán</x:v>
      </x:c>
      <x:c r="I3" s="11" t="str">
        <x:v>Tiết kiệm</x:v>
      </x:c>
      <x:c r="J3" s="11" t="str">
        <x:v>Trạng thái</x:v>
      </x:c>
    </x:row>
    <x:row r="4" ht="30" customHeight="1">
      <x:c r="A4" s="16" t="str">
        <x:v>MON-001</x:v>
      </x:c>
      <x:c r="B4" s="16" t="str">
        <x:v>Món lẻ</x:v>
      </x:c>
      <x:c r="C4" s="15" t="str">
        <x:v>Sinh tố chuối</x:v>
      </x:c>
      <x:c r="D4" s="26" t="str">
        <x:v>—</x:v>
      </x:c>
      <x:c r="E4" s="16" t="str">
        <x:v>ly</x:v>
      </x:c>
      <x:c r="F4" s="18" t="n">
        <x:v>35000</x:v>
      </x:c>
      <x:c r="G4" s="20" t="n">
        <x:v>0</x:v>
      </x:c>
      <x:c r="H4" s="23" t="n">
        <x:f>ROUND(F4*(1-G4),-3)</x:f>
        <x:v>35000</x:v>
      </x:c>
      <x:c r="I4" s="25" t="n">
        <x:f>F4-H4</x:f>
        <x:v>0</x:v>
      </x:c>
      <x:c r="J4" s="16" t="str">
        <x:v>Đang bán</x:v>
      </x:c>
    </x:row>
    <x:row r="5" ht="30" customHeight="1">
      <x:c r="A5" s="17" t="str">
        <x:v>MON-002</x:v>
      </x:c>
      <x:c r="B5" s="17" t="str">
        <x:v>Món lẻ</x:v>
      </x:c>
      <x:c r="C5" s="14" t="str">
        <x:v>Trà sữa trân châu</x:v>
      </x:c>
      <x:c r="D5" s="27" t="str">
        <x:v>—</x:v>
      </x:c>
      <x:c r="E5" s="17" t="str">
        <x:v>ly</x:v>
      </x:c>
      <x:c r="F5" s="19" t="n">
        <x:v>39000</x:v>
      </x:c>
      <x:c r="G5" s="21" t="n">
        <x:v>0</x:v>
      </x:c>
      <x:c r="H5" s="23" t="n">
        <x:f>ROUND(F5*(1-G5),-3)</x:f>
        <x:v>39000</x:v>
      </x:c>
      <x:c r="I5" s="25" t="n">
        <x:f>F5-H5</x:f>
        <x:v>0</x:v>
      </x:c>
      <x:c r="J5" s="17" t="str">
        <x:v>Đang bán</x:v>
      </x:c>
    </x:row>
    <x:row r="6" ht="30" customHeight="1">
      <x:c r="A6" s="16" t="str">
        <x:v>MON-003</x:v>
      </x:c>
      <x:c r="B6" s="16" t="str">
        <x:v>Món lẻ</x:v>
      </x:c>
      <x:c r="C6" s="15" t="str">
        <x:v>Cà phê sữa</x:v>
      </x:c>
      <x:c r="D6" s="26" t="str">
        <x:v>—</x:v>
      </x:c>
      <x:c r="E6" s="16" t="str">
        <x:v>ly</x:v>
      </x:c>
      <x:c r="F6" s="18" t="n">
        <x:v>29000</x:v>
      </x:c>
      <x:c r="G6" s="20" t="n">
        <x:v>0</x:v>
      </x:c>
      <x:c r="H6" s="23" t="n">
        <x:f>ROUND(F6*(1-G6),-3)</x:f>
        <x:v>29000</x:v>
      </x:c>
      <x:c r="I6" s="25" t="n">
        <x:f>F6-H6</x:f>
        <x:v>0</x:v>
      </x:c>
      <x:c r="J6" s="16" t="str">
        <x:v>Đang bán</x:v>
      </x:c>
    </x:row>
    <x:row r="7" ht="30" customHeight="1">
      <x:c r="A7" s="17" t="str">
        <x:v>MON-004</x:v>
      </x:c>
      <x:c r="B7" s="17" t="str">
        <x:v>Món lẻ</x:v>
      </x:c>
      <x:c r="C7" s="14" t="str">
        <x:v>Nước cam</x:v>
      </x:c>
      <x:c r="D7" s="27" t="str">
        <x:v>—</x:v>
      </x:c>
      <x:c r="E7" s="17" t="str">
        <x:v>ly</x:v>
      </x:c>
      <x:c r="F7" s="19" t="n">
        <x:v>42000</x:v>
      </x:c>
      <x:c r="G7" s="21" t="n">
        <x:v>0</x:v>
      </x:c>
      <x:c r="H7" s="23" t="n">
        <x:f>ROUND(F7*(1-G7),-3)</x:f>
        <x:v>42000</x:v>
      </x:c>
      <x:c r="I7" s="25" t="n">
        <x:f>F7-H7</x:f>
        <x:v>0</x:v>
      </x:c>
      <x:c r="J7" s="17" t="str">
        <x:v>Đang bán</x:v>
      </x:c>
    </x:row>
    <x:row r="8" ht="30" customHeight="1">
      <x:c r="A8" s="16" t="str">
        <x:v>MON-005</x:v>
      </x:c>
      <x:c r="B8" s="16" t="str">
        <x:v>Món lẻ</x:v>
      </x:c>
      <x:c r="C8" s="15" t="str">
        <x:v>Matcha latte</x:v>
      </x:c>
      <x:c r="D8" s="26" t="str">
        <x:v>—</x:v>
      </x:c>
      <x:c r="E8" s="16" t="str">
        <x:v>ly</x:v>
      </x:c>
      <x:c r="F8" s="18" t="n">
        <x:v>45000</x:v>
      </x:c>
      <x:c r="G8" s="20" t="n">
        <x:v>0</x:v>
      </x:c>
      <x:c r="H8" s="23" t="n">
        <x:f>ROUND(F8*(1-G8),-3)</x:f>
        <x:v>45000</x:v>
      </x:c>
      <x:c r="I8" s="25" t="n">
        <x:f>F8-H8</x:f>
        <x:v>0</x:v>
      </x:c>
      <x:c r="J8" s="16" t="str">
        <x:v>Đang bán</x:v>
      </x:c>
    </x:row>
    <x:row r="9" ht="30" customHeight="1">
      <x:c r="A9" s="17" t="str">
        <x:v>CMB-001</x:v>
      </x:c>
      <x:c r="B9" s="17" t="str">
        <x:v>Combo</x:v>
      </x:c>
      <x:c r="C9" s="14" t="str">
        <x:v>Combo Cặp Đôi</x:v>
      </x:c>
      <x:c r="D9" s="27" t="str">
        <x:v>1 × Trà sữa trân châu + 1 × Cà phê sữa</x:v>
      </x:c>
      <x:c r="E9" s="17" t="str">
        <x:v>combo</x:v>
      </x:c>
      <x:c r="F9" s="19" t="n">
        <x:f>$F$5+$F$6</x:f>
        <x:v>68000</x:v>
      </x:c>
      <x:c r="G9" s="21" t="n">
        <x:v>0.09</x:v>
      </x:c>
      <x:c r="H9" s="23" t="n">
        <x:f>ROUND(F9*(1-G9),-3)</x:f>
        <x:v>62000</x:v>
      </x:c>
      <x:c r="I9" s="25" t="n">
        <x:f>F9-H9</x:f>
        <x:v>6000</x:v>
      </x:c>
      <x:c r="J9" s="17" t="str">
        <x:v>Đang bán</x:v>
      </x:c>
    </x:row>
    <x:row r="10" ht="30" customHeight="1">
      <x:c r="A10" s="16" t="str">
        <x:v>CMB-002</x:v>
      </x:c>
      <x:c r="B10" s="16" t="str">
        <x:v>Combo</x:v>
      </x:c>
      <x:c r="C10" s="15" t="str">
        <x:v>Combo Tươi Mát</x:v>
      </x:c>
      <x:c r="D10" s="26" t="str">
        <x:v>1 × Sinh tố chuối + 1 × Nước cam</x:v>
      </x:c>
      <x:c r="E10" s="16" t="str">
        <x:v>combo</x:v>
      </x:c>
      <x:c r="F10" s="18" t="n">
        <x:f>$F$4+$F$7</x:f>
        <x:v>77000</x:v>
      </x:c>
      <x:c r="G10" s="20" t="n">
        <x:v>0.09</x:v>
      </x:c>
      <x:c r="H10" s="23" t="n">
        <x:f>ROUND(F10*(1-G10),-3)</x:f>
        <x:v>70000</x:v>
      </x:c>
      <x:c r="I10" s="25" t="n">
        <x:f>F10-H10</x:f>
        <x:v>7000</x:v>
      </x:c>
      <x:c r="J10" s="16" t="str">
        <x:v>Đang bán</x:v>
      </x:c>
    </x:row>
    <x:row r="11" ht="30" customHeight="1">
      <x:c r="A11" s="17" t="str">
        <x:v>CMB-003</x:v>
      </x:c>
      <x:c r="B11" s="17" t="str">
        <x:v>Combo</x:v>
      </x:c>
      <x:c r="C11" s="14" t="str">
        <x:v>Combo Latte Lovers</x:v>
      </x:c>
      <x:c r="D11" s="27" t="str">
        <x:v>1 × Trà sữa trân châu + 1 × Matcha latte</x:v>
      </x:c>
      <x:c r="E11" s="17" t="str">
        <x:v>combo</x:v>
      </x:c>
      <x:c r="F11" s="19" t="n">
        <x:f>$F$5+$F$8</x:f>
        <x:v>84000</x:v>
      </x:c>
      <x:c r="G11" s="21" t="n">
        <x:v>0.1</x:v>
      </x:c>
      <x:c r="H11" s="23" t="n">
        <x:f>ROUND(F11*(1-G11),-3)</x:f>
        <x:v>76000</x:v>
      </x:c>
      <x:c r="I11" s="25" t="n">
        <x:f>F11-H11</x:f>
        <x:v>8000</x:v>
      </x:c>
      <x:c r="J11" s="17" t="str">
        <x:v>Đang bán</x:v>
      </x:c>
    </x:row>
    <x:row r="12" ht="30" customHeight="1">
      <x:c r="A12" s="16" t="str">
        <x:v>CMB-004</x:v>
      </x:c>
      <x:c r="B12" s="16" t="str">
        <x:v>Combo</x:v>
      </x:c>
      <x:c r="C12" s="15" t="str">
        <x:v>Combo Cà Phê Hội Bạn</x:v>
      </x:c>
      <x:c r="D12" s="26" t="str">
        <x:v>2 × Cà phê sữa + 1 × Trà sữa trân châu</x:v>
      </x:c>
      <x:c r="E12" s="16" t="str">
        <x:v>combo</x:v>
      </x:c>
      <x:c r="F12" s="18" t="n">
        <x:f>2*$F$6+$F$5</x:f>
        <x:v>97000</x:v>
      </x:c>
      <x:c r="G12" s="20" t="n">
        <x:v>0.08</x:v>
      </x:c>
      <x:c r="H12" s="23" t="n">
        <x:f>ROUND(F12*(1-G12),-3)</x:f>
        <x:v>89000</x:v>
      </x:c>
      <x:c r="I12" s="25" t="n">
        <x:f>F12-H12</x:f>
        <x:v>8000</x:v>
      </x:c>
      <x:c r="J12" s="16" t="str">
        <x:v>Đang bán</x:v>
      </x:c>
    </x:row>
    <x:row r="13" ht="30" customHeight="1">
      <x:c r="A13" s="17" t="str">
        <x:v>CMB-005</x:v>
      </x:c>
      <x:c r="B13" s="17" t="str">
        <x:v>Combo</x:v>
      </x:c>
      <x:c r="C13" s="14" t="str">
        <x:v>Combo Nhóm 3 Đủ Vị</x:v>
      </x:c>
      <x:c r="D13" s="27" t="str">
        <x:v>1 × Sinh tố chuối + 1 × Nước cam + 1 × Matcha latte</x:v>
      </x:c>
      <x:c r="E13" s="17" t="str">
        <x:v>combo</x:v>
      </x:c>
      <x:c r="F13" s="19" t="n">
        <x:f>$F$4+$F$7+$F$8</x:f>
        <x:v>122000</x:v>
      </x:c>
      <x:c r="G13" s="21" t="n">
        <x:v>0.1</x:v>
      </x:c>
      <x:c r="H13" s="23" t="n">
        <x:f>ROUND(F13*(1-G13),-3)</x:f>
        <x:v>110000</x:v>
      </x:c>
      <x:c r="I13" s="25" t="n">
        <x:f>F13-H13</x:f>
        <x:v>12000</x:v>
      </x:c>
      <x:c r="J13" s="17" t="str">
        <x:v>Đang bán</x:v>
      </x:c>
    </x:row>
  </x:sheetData>
  <x:mergeCells>
    <x:mergeCell ref="A1:J1"/>
    <x:mergeCell ref="A2:J2"/>
  </x:mergeCells>
  <x:dataValidations count="2">
    <x:dataValidation type="list" sqref="B4:B13">
      <x:formula1>"Món lẻ,Combo"</x:formula1>
    </x:dataValidation>
    <x:dataValidation type="list" sqref="J4:J13">
      <x:formula1>"Đang bán,Tạm ngưng"</x:formula1>
    </x:dataValidation>
  </x:dataValidations>
  <x:pageMargins left="0.7" right="0.7" top="0.75" bottom="0.75" header="0.3" footer="0.3"/>
  <x:legacyDrawing xmlns:r="http://schemas.openxmlformats.org/officeDocument/2006/relationships" r:id="Rd0b21260f4d14d5e"/>
  <x:tableParts count="1">
    <x:tablePart xmlns:r="http://schemas.openxmlformats.org/officeDocument/2006/relationships" r:id="R08bf8cbff55246e5"/>
  </x:tableParts>
</x:worksheet>
</file>